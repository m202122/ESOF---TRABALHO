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 activeTab="2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3" i="7"/>
  <c r="R43" i="7"/>
  <c r="U43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60" i="7" l="1"/>
  <c r="R60" i="7" s="1"/>
  <c r="O44" i="7"/>
  <c r="R44" i="7" s="1"/>
  <c r="U44" i="7" s="1"/>
  <c r="G44" i="7"/>
  <c r="X44" i="7"/>
  <c r="G43" i="7"/>
  <c r="X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U31" i="7" s="1"/>
  <c r="G31" i="7" s="1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R13" i="7" s="1"/>
  <c r="O59" i="7"/>
  <c r="O57" i="7"/>
  <c r="O55" i="7"/>
  <c r="O53" i="7"/>
  <c r="U53" i="7" s="1"/>
  <c r="O51" i="7"/>
  <c r="O58" i="7"/>
  <c r="O56" i="7"/>
  <c r="R56" i="7" s="1"/>
  <c r="U56" i="7" s="1"/>
  <c r="G56" i="7" s="1"/>
  <c r="R55" i="7"/>
  <c r="U55" i="7" s="1"/>
  <c r="G55" i="7" s="1"/>
  <c r="O54" i="7"/>
  <c r="R53" i="7"/>
  <c r="O52" i="7"/>
  <c r="R51" i="7"/>
  <c r="U51" i="7" s="1"/>
  <c r="G51" i="7" s="1"/>
  <c r="O50" i="7"/>
  <c r="R50" i="7" s="1"/>
  <c r="AA44" i="7"/>
  <c r="AA43" i="7"/>
  <c r="O48" i="7"/>
  <c r="R48" i="7" s="1"/>
  <c r="O46" i="7"/>
  <c r="O42" i="7"/>
  <c r="R41" i="7"/>
  <c r="O40" i="7"/>
  <c r="R39" i="7"/>
  <c r="O38" i="7"/>
  <c r="O36" i="7"/>
  <c r="O34" i="7"/>
  <c r="R33" i="7"/>
  <c r="O32" i="7"/>
  <c r="R31" i="7"/>
  <c r="O30" i="7"/>
  <c r="O28" i="7"/>
  <c r="O26" i="7"/>
  <c r="O24" i="7"/>
  <c r="O7" i="7"/>
  <c r="R7" i="7" s="1"/>
  <c r="U7" i="7" s="1"/>
  <c r="G7" i="7" s="1"/>
  <c r="O5" i="7"/>
  <c r="R23" i="7"/>
  <c r="O22" i="7"/>
  <c r="O18" i="7"/>
  <c r="R15" i="7"/>
  <c r="U15" i="7" s="1"/>
  <c r="O14" i="7"/>
  <c r="R14" i="7" s="1"/>
  <c r="O12" i="7"/>
  <c r="R12" i="7" s="1"/>
  <c r="O10" i="7"/>
  <c r="R10" i="7" s="1"/>
  <c r="O9" i="7"/>
  <c r="R9" i="7" s="1"/>
  <c r="O8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/>
  <c r="G28" i="7" s="1"/>
  <c r="R25" i="7"/>
  <c r="R24" i="7"/>
  <c r="R22" i="7"/>
  <c r="U22" i="7" s="1"/>
  <c r="G22" i="7" s="1"/>
  <c r="R18" i="7"/>
  <c r="U18" i="7" s="1"/>
  <c r="G18" i="7" s="1"/>
  <c r="O6" i="7"/>
  <c r="R21" i="7"/>
  <c r="O20" i="7"/>
  <c r="R17" i="7"/>
  <c r="O16" i="7"/>
  <c r="O11" i="7"/>
  <c r="R8" i="7"/>
  <c r="U8" i="7" s="1"/>
  <c r="G8" i="7" s="1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G53" i="7" l="1"/>
  <c r="X53" i="7"/>
  <c r="U60" i="7"/>
  <c r="R59" i="7"/>
  <c r="U59" i="7" s="1"/>
  <c r="R5" i="7"/>
  <c r="U5" i="7" s="1"/>
  <c r="G5" i="7" s="1"/>
  <c r="X31" i="7"/>
  <c r="AA31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G45" i="7"/>
  <c r="X45" i="7"/>
  <c r="G35" i="7"/>
  <c r="U25" i="7"/>
  <c r="G25" i="7" s="1"/>
  <c r="R11" i="7"/>
  <c r="U11" i="7" s="1"/>
  <c r="G11" i="7" s="1"/>
  <c r="U12" i="7"/>
  <c r="X8" i="7"/>
  <c r="U10" i="7"/>
  <c r="AA10" i="7" s="1"/>
  <c r="AD10" i="7" s="1"/>
  <c r="R20" i="7"/>
  <c r="X22" i="7"/>
  <c r="R26" i="7"/>
  <c r="U29" i="7"/>
  <c r="R34" i="7"/>
  <c r="R36" i="7"/>
  <c r="R42" i="7"/>
  <c r="R49" i="7"/>
  <c r="X46" i="7"/>
  <c r="U13" i="7"/>
  <c r="G13" i="7" s="1"/>
  <c r="AA15" i="7"/>
  <c r="AD15" i="7" s="1"/>
  <c r="AG15" i="7" s="1"/>
  <c r="U17" i="7"/>
  <c r="U21" i="7"/>
  <c r="G21" i="7" s="1"/>
  <c r="U37" i="7"/>
  <c r="U39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AA8" i="7"/>
  <c r="U20" i="7"/>
  <c r="G20" i="7" s="1"/>
  <c r="AA22" i="7"/>
  <c r="R6" i="7"/>
  <c r="R16" i="7"/>
  <c r="X18" i="7"/>
  <c r="U24" i="7"/>
  <c r="X25" i="7"/>
  <c r="X28" i="7"/>
  <c r="R30" i="7"/>
  <c r="U33" i="7"/>
  <c r="R40" i="7"/>
  <c r="AA46" i="7"/>
  <c r="AG43" i="7"/>
  <c r="X48" i="7"/>
  <c r="X52" i="7"/>
  <c r="AA53" i="7"/>
  <c r="X56" i="7"/>
  <c r="U19" i="7"/>
  <c r="U23" i="7"/>
  <c r="R61" i="7"/>
  <c r="U61" i="7" s="1"/>
  <c r="X61" i="7" s="1"/>
  <c r="AA61" i="7" s="1"/>
  <c r="AA35" i="7" l="1"/>
  <c r="AD35" i="7" s="1"/>
  <c r="G59" i="7"/>
  <c r="X59" i="7"/>
  <c r="X35" i="7"/>
  <c r="AA5" i="7"/>
  <c r="AG5" i="7" s="1"/>
  <c r="U57" i="7"/>
  <c r="AA45" i="7"/>
  <c r="AD45" i="7" s="1"/>
  <c r="X5" i="7"/>
  <c r="X21" i="7"/>
  <c r="AA21" i="7" s="1"/>
  <c r="X13" i="7"/>
  <c r="AA13" i="7" s="1"/>
  <c r="AA59" i="7"/>
  <c r="AD5" i="7"/>
  <c r="X11" i="7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G17" i="7"/>
  <c r="AD46" i="7"/>
  <c r="AG46" i="7" s="1"/>
  <c r="U42" i="7"/>
  <c r="U36" i="7"/>
  <c r="X36" i="7" s="1"/>
  <c r="G29" i="7"/>
  <c r="X29" i="7"/>
  <c r="U26" i="7"/>
  <c r="AD8" i="7"/>
  <c r="AA48" i="7"/>
  <c r="AD48" i="7" s="1"/>
  <c r="AA28" i="7"/>
  <c r="U6" i="7"/>
  <c r="G6" i="7" s="1"/>
  <c r="AD28" i="7"/>
  <c r="X20" i="7"/>
  <c r="AG8" i="7"/>
  <c r="AA20" i="7"/>
  <c r="AA55" i="7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31" i="7"/>
  <c r="AG28" i="7"/>
  <c r="AD22" i="7"/>
  <c r="AD21" i="7"/>
  <c r="AA11" i="7"/>
  <c r="AA23" i="7"/>
  <c r="X58" i="7"/>
  <c r="X54" i="7"/>
  <c r="X50" i="7"/>
  <c r="AD55" i="7"/>
  <c r="AD53" i="7"/>
  <c r="AA18" i="7"/>
  <c r="AD18" i="7" s="1"/>
  <c r="U16" i="7"/>
  <c r="G16" i="7" s="1"/>
  <c r="AA25" i="7"/>
  <c r="AA39" i="7"/>
  <c r="AJ43" i="7"/>
  <c r="AJ15" i="7"/>
  <c r="AD61" i="7"/>
  <c r="AJ45" i="7" l="1"/>
  <c r="AM45" i="7" s="1"/>
  <c r="AG45" i="7"/>
  <c r="AD14" i="7"/>
  <c r="AG14" i="7" s="1"/>
  <c r="AJ14" i="7" s="1"/>
  <c r="AG35" i="7"/>
  <c r="AJ35" i="7" s="1"/>
  <c r="AG59" i="7"/>
  <c r="AJ59" i="7" s="1"/>
  <c r="G57" i="7"/>
  <c r="X57" i="7"/>
  <c r="X30" i="7"/>
  <c r="AD59" i="7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AJ5" i="7"/>
  <c r="G42" i="7"/>
  <c r="AA42" i="7"/>
  <c r="AD42" i="7" s="1"/>
  <c r="G32" i="7"/>
  <c r="AA32" i="7"/>
  <c r="AD32" i="7" s="1"/>
  <c r="AM43" i="7"/>
  <c r="AP43" i="7" s="1"/>
  <c r="AD23" i="7"/>
  <c r="AM13" i="7"/>
  <c r="X49" i="7"/>
  <c r="AA58" i="7"/>
  <c r="AG23" i="7"/>
  <c r="AG25" i="7"/>
  <c r="AJ25" i="7" s="1"/>
  <c r="AM10" i="7"/>
  <c r="AP10" i="7" s="1"/>
  <c r="AD11" i="7"/>
  <c r="AA50" i="7"/>
  <c r="AA54" i="7"/>
  <c r="AM15" i="7"/>
  <c r="AA30" i="7"/>
  <c r="AA40" i="7"/>
  <c r="AD40" i="7" s="1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G32" i="7" l="1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J23" i="7"/>
  <c r="AG56" i="7"/>
  <c r="AJ56" i="7" s="1"/>
  <c r="AM56" i="7" s="1"/>
  <c r="AP56" i="7" s="1"/>
  <c r="AS56" i="7" s="1"/>
  <c r="AV56" i="7" s="1"/>
  <c r="AY56" i="7" s="1"/>
  <c r="CC53" i="7"/>
  <c r="AG40" i="7"/>
  <c r="AJ40" i="7"/>
  <c r="AM40" i="7" s="1"/>
  <c r="AP40" i="7" s="1"/>
  <c r="AG50" i="7"/>
  <c r="AJ50" i="7" s="1"/>
  <c r="AM50" i="7" s="1"/>
  <c r="AP50" i="7" s="1"/>
  <c r="AS50" i="7" s="1"/>
  <c r="AV50" i="7" s="1"/>
  <c r="AY50" i="7" s="1"/>
  <c r="AG38" i="7"/>
  <c r="AJ18" i="7"/>
  <c r="AD54" i="7"/>
  <c r="AS43" i="7"/>
  <c r="AP7" i="7"/>
  <c r="AS7" i="7" s="1"/>
  <c r="AV7" i="7" s="1"/>
  <c r="AY7" i="7" s="1"/>
  <c r="CE7" i="7" s="1"/>
  <c r="AD30" i="7"/>
  <c r="AM32" i="7"/>
  <c r="AP32" i="7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J57" i="7" l="1"/>
  <c r="AM57" i="7" s="1"/>
  <c r="AP57" i="7" s="1"/>
  <c r="AS57" i="7" s="1"/>
  <c r="AV57" i="7" s="1"/>
  <c r="AY57" i="7" s="1"/>
  <c r="CE57" i="7" s="1"/>
  <c r="AG57" i="7"/>
  <c r="BT15" i="7"/>
  <c r="BW15" i="7" s="1"/>
  <c r="BZ15" i="7" s="1"/>
  <c r="CC15" i="7" s="1"/>
  <c r="AV25" i="7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Y25" i="7"/>
  <c r="BN25" i="7" s="1"/>
  <c r="BQ25" i="7" s="1"/>
  <c r="BT25" i="7" s="1"/>
  <c r="BW25" i="7" s="1"/>
  <c r="BZ25" i="7" s="1"/>
  <c r="CC25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CE28" i="7" l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AY34" i="7" l="1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/>
  <c r="R29" i="8" s="1"/>
  <c r="R27" i="8"/>
  <c r="R28" i="8" s="1"/>
  <c r="R32" i="8"/>
  <c r="Q27" i="8" l="1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<sst xmlns="http://schemas.openxmlformats.org/spreadsheetml/2006/main" count="311" uniqueCount="135">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</sst>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B11" sqref="B11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39314</v>
      </c>
      <c r="H1" s="1"/>
      <c r="I1" s="1"/>
      <c r="J1" s="188">
        <f>SprintStart</f>
        <v>39314</v>
      </c>
      <c r="K1" s="188"/>
      <c r="L1" s="188"/>
      <c r="M1" s="188">
        <f>IF(AND(SkipWeekends, WEEKDAY(J1)=6),J1+3, J1+1)</f>
        <v>39315</v>
      </c>
      <c r="N1" s="188"/>
      <c r="O1" s="188"/>
      <c r="P1" s="188">
        <f>IF(AND(SkipWeekends, WEEKDAY(M1)=6),M1+3, M1+1)</f>
        <v>39316</v>
      </c>
      <c r="Q1" s="188"/>
      <c r="R1" s="188"/>
      <c r="S1" s="188">
        <f>IF(AND(SkipWeekends, WEEKDAY(P1)=6),P1+3, P1+1)</f>
        <v>39317</v>
      </c>
      <c r="T1" s="188"/>
      <c r="U1" s="188"/>
      <c r="V1" s="188">
        <f>IF(AND(SkipWeekends, WEEKDAY(S1)=6),S1+3, S1+1)</f>
        <v>39318</v>
      </c>
      <c r="W1" s="188"/>
      <c r="X1" s="188"/>
      <c r="Y1" s="188">
        <f>IF(AND(SkipWeekends, WEEKDAY(V1)=6),V1+3, V1+1)</f>
        <v>39319</v>
      </c>
      <c r="Z1" s="188"/>
      <c r="AA1" s="188"/>
      <c r="AB1" s="188">
        <f>IF(AND(SkipWeekends, WEEKDAY(Y1)=6),Y1+3, Y1+1)</f>
        <v>39320</v>
      </c>
      <c r="AC1" s="188"/>
      <c r="AD1" s="188"/>
      <c r="AE1" s="188">
        <f>IF(AND(SkipWeekends, WEEKDAY(AB1)=6),AB1+3, AB1+1)</f>
        <v>39321</v>
      </c>
      <c r="AF1" s="188"/>
      <c r="AG1" s="188"/>
      <c r="AH1" s="188">
        <f>IF(AND(SkipWeekends, WEEKDAY(AE1)=6),AE1+3, AE1+1)</f>
        <v>39322</v>
      </c>
      <c r="AI1" s="188"/>
      <c r="AJ1" s="188"/>
      <c r="AK1" s="188">
        <f>IF(AND(SkipWeekends, WEEKDAY(AH1)=6),AH1+3, AH1+1)</f>
        <v>39323</v>
      </c>
      <c r="AL1" s="188"/>
      <c r="AM1" s="188"/>
      <c r="AN1" s="188">
        <f>IF(AND(SkipWeekends, WEEKDAY(AK1)=6),AK1+3, AK1+1)</f>
        <v>39324</v>
      </c>
      <c r="AO1" s="188"/>
      <c r="AP1" s="188"/>
      <c r="AQ1" s="188">
        <f>IF(AND(SkipWeekends, WEEKDAY(AN1)=6),AN1+3, AN1+1)</f>
        <v>39325</v>
      </c>
      <c r="AR1" s="188"/>
      <c r="AS1" s="188"/>
      <c r="AT1" s="188">
        <f>IF(AND(SkipWeekends, WEEKDAY(AQ1)=6),AQ1+3, AQ1+1)</f>
        <v>39326</v>
      </c>
      <c r="AU1" s="188"/>
      <c r="AV1" s="188"/>
      <c r="AW1" s="188">
        <f>IF(AND(SkipWeekends, WEEKDAY(AT1)=6),AT1+3, AT1+1)</f>
        <v>39327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/>
      <c r="B4" s="16"/>
      <c r="C4" s="16"/>
      <c r="D4" s="17"/>
      <c r="E4" s="178"/>
      <c r="F4" s="18" t="s">
        <v>134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0</v>
      </c>
      <c r="J4" s="22">
        <v>0</v>
      </c>
      <c r="K4" s="22">
        <f t="shared" ref="K4" si="1">MAX(I4-J4, 0)</f>
        <v>0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0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0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0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0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x14ac:dyDescent="0.2">
      <c r="A5" s="16"/>
      <c r="B5" s="16"/>
      <c r="C5" s="16"/>
      <c r="D5" s="17"/>
      <c r="E5" s="178"/>
      <c r="F5" s="18" t="s">
        <v>134</v>
      </c>
      <c r="G5" s="19" t="e">
        <f t="shared" ca="1" si="0"/>
        <v>#REF!</v>
      </c>
      <c r="H5" s="20">
        <v>1</v>
      </c>
      <c r="I5" s="21">
        <v>0</v>
      </c>
      <c r="J5" s="22">
        <v>0</v>
      </c>
      <c r="K5" s="22">
        <f t="shared" ref="K5:K60" si="24">MAX(I5-J5, 0)</f>
        <v>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 x14ac:dyDescent="0.2">
      <c r="A6" s="16"/>
      <c r="B6" s="16"/>
      <c r="C6" s="16"/>
      <c r="D6" s="17"/>
      <c r="E6" s="178"/>
      <c r="F6" s="18" t="s">
        <v>134</v>
      </c>
      <c r="G6" s="19" t="e">
        <f t="shared" ca="1" si="0"/>
        <v>#REF!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/>
      <c r="B7" s="16"/>
      <c r="C7" s="16"/>
      <c r="D7" s="17"/>
      <c r="E7" s="178"/>
      <c r="F7" s="18" t="s">
        <v>134</v>
      </c>
      <c r="G7" s="19" t="e">
        <f t="shared" ca="1" si="0"/>
        <v>#REF!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/>
      <c r="C8" s="16"/>
      <c r="D8" s="17"/>
      <c r="E8" s="178"/>
      <c r="F8" s="18" t="s">
        <v>134</v>
      </c>
      <c r="G8" s="19" t="e">
        <f t="shared" ca="1" si="0"/>
        <v>#REF!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/>
      <c r="E9" s="178"/>
      <c r="F9" s="18" t="s">
        <v>134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134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134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134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134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134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134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134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134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134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134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134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134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134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134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134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134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134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134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134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134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134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134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134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134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134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134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134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134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134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134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134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134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134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134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134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134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134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134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134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134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134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134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134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134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134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134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134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134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134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134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134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7" t="s">
        <v>9</v>
      </c>
      <c r="N63" s="189"/>
      <c r="O63" s="30">
        <f>L63+1</f>
        <v>2</v>
      </c>
      <c r="P63" s="187" t="s">
        <v>9</v>
      </c>
      <c r="Q63" s="189"/>
      <c r="R63" s="30">
        <f>O63+1</f>
        <v>3</v>
      </c>
      <c r="S63" s="187" t="s">
        <v>9</v>
      </c>
      <c r="T63" s="189"/>
      <c r="U63" s="30">
        <f>R63+1</f>
        <v>4</v>
      </c>
      <c r="V63" s="187" t="s">
        <v>9</v>
      </c>
      <c r="W63" s="189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89"/>
      <c r="BB63" s="30" t="e">
        <f>#REF!+1</f>
        <v>#REF!</v>
      </c>
      <c r="BC63" s="187" t="s">
        <v>9</v>
      </c>
      <c r="BD63" s="189"/>
      <c r="BE63" s="30" t="e">
        <f>BB63+1</f>
        <v>#REF!</v>
      </c>
      <c r="BF63" s="187" t="s">
        <v>9</v>
      </c>
      <c r="BG63" s="189"/>
      <c r="BH63" s="30" t="e">
        <f>BE63+1</f>
        <v>#REF!</v>
      </c>
      <c r="BI63" s="187" t="s">
        <v>9</v>
      </c>
      <c r="BJ63" s="189"/>
      <c r="BK63" s="30" t="e">
        <f>BH63+1</f>
        <v>#REF!</v>
      </c>
      <c r="BL63" s="187" t="s">
        <v>9</v>
      </c>
      <c r="BM63" s="189"/>
      <c r="BN63" s="30" t="e">
        <f>BK63+1</f>
        <v>#REF!</v>
      </c>
      <c r="BO63" s="187" t="s">
        <v>9</v>
      </c>
      <c r="BP63" s="189"/>
      <c r="BQ63" s="30" t="e">
        <f>BN63+1</f>
        <v>#REF!</v>
      </c>
      <c r="BR63" s="187" t="s">
        <v>9</v>
      </c>
      <c r="BS63" s="189"/>
      <c r="BT63" s="30" t="e">
        <f>BQ63+1</f>
        <v>#REF!</v>
      </c>
      <c r="BU63" s="187" t="s">
        <v>9</v>
      </c>
      <c r="BV63" s="189"/>
      <c r="BW63" s="30" t="e">
        <f>BT63+1</f>
        <v>#REF!</v>
      </c>
      <c r="BX63" s="187" t="s">
        <v>9</v>
      </c>
      <c r="BY63" s="189"/>
      <c r="BZ63" s="30" t="e">
        <f>BW63+1</f>
        <v>#REF!</v>
      </c>
      <c r="CA63" s="187" t="s">
        <v>9</v>
      </c>
      <c r="CB63" s="189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0</v>
      </c>
      <c r="J67" s="156">
        <f>SUBTOTAL(109,J$4:J$62)</f>
        <v>0</v>
      </c>
      <c r="K67" s="156">
        <f>SUBTOTAL(109,K$4:K$61)</f>
        <v>0</v>
      </c>
      <c r="L67" s="39"/>
      <c r="M67" s="39">
        <f>SUBTOTAL(109,M$4:M$62)</f>
        <v>0</v>
      </c>
      <c r="N67" s="39">
        <f>SUBTOTAL(109,N$4:N$61)</f>
        <v>0</v>
      </c>
      <c r="O67" s="39"/>
      <c r="P67" s="39">
        <f>SUBTOTAL(109,P$4:P$62)</f>
        <v>0</v>
      </c>
      <c r="Q67" s="39">
        <f>SUBTOTAL(109,Q$4:Q$61)</f>
        <v>0</v>
      </c>
      <c r="R67" s="39"/>
      <c r="S67" s="39">
        <f>SUBTOTAL(109,S$4:S$62)</f>
        <v>0</v>
      </c>
      <c r="T67" s="39">
        <f>SUBTOTAL(109,T$4:T$61)</f>
        <v>0</v>
      </c>
      <c r="U67" s="39"/>
      <c r="V67" s="39">
        <f>SUBTOTAL(109,V$4:V$62)</f>
        <v>0</v>
      </c>
      <c r="W67" s="39">
        <f>SUBTOTAL(109,W$4:W$61)</f>
        <v>0</v>
      </c>
      <c r="X67" s="39"/>
      <c r="Y67" s="39">
        <f>SUBTOTAL(109,Y$4:Y$62)</f>
        <v>0</v>
      </c>
      <c r="Z67" s="39">
        <f>SUBTOTAL(109,Z$4:Z$61)</f>
        <v>0</v>
      </c>
      <c r="AA67" s="39"/>
      <c r="AB67" s="39">
        <f>SUBTOTAL(109,AB$4:AB$62)</f>
        <v>0</v>
      </c>
      <c r="AC67" s="39">
        <f>SUBTOTAL(109,AC$4:AC$61)</f>
        <v>0</v>
      </c>
      <c r="AD67" s="39"/>
      <c r="AE67" s="39">
        <f>SUBTOTAL(109,AE$4:AE$62)</f>
        <v>0</v>
      </c>
      <c r="AF67" s="39">
        <f>SUBTOTAL(109,AF$4:AF$61)</f>
        <v>0</v>
      </c>
      <c r="AG67" s="39"/>
      <c r="AH67" s="39">
        <f>SUBTOTAL(109,AH$4:AH$62)</f>
        <v>0</v>
      </c>
      <c r="AI67" s="39">
        <f>SUBTOTAL(109,AI$4:AI$61)</f>
        <v>0</v>
      </c>
      <c r="AJ67" s="39"/>
      <c r="AK67" s="39">
        <f>SUBTOTAL(109,AK$4:AK$62)</f>
        <v>0</v>
      </c>
      <c r="AL67" s="39">
        <f>SUBTOTAL(109,AL$4:AL$61)</f>
        <v>0</v>
      </c>
      <c r="AM67" s="39"/>
      <c r="AN67" s="39">
        <f>SUBTOTAL(109,AN$4:AN$62)</f>
        <v>0</v>
      </c>
      <c r="AO67" s="39">
        <f>SUBTOTAL(109,AO$4:AO$61)</f>
        <v>0</v>
      </c>
      <c r="AP67" s="39"/>
      <c r="AQ67" s="39">
        <f>SUBTOTAL(109,AQ$4:AQ$62)</f>
        <v>0</v>
      </c>
      <c r="AR67" s="39">
        <f>SUBTOTAL(109,AR$4:AR$61)</f>
        <v>0</v>
      </c>
      <c r="AS67" s="39"/>
      <c r="AT67" s="39">
        <f>SUBTOTAL(109,AT$4:AT$62)</f>
        <v>0</v>
      </c>
      <c r="AU67" s="39">
        <f>SUBTOTAL(109,AU$4:AU$61)</f>
        <v>0</v>
      </c>
      <c r="AV67" s="39"/>
      <c r="AW67" s="39">
        <f>SUBTOTAL(109,AW$4:AW$62)</f>
        <v>0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39314</v>
      </c>
      <c r="F20" s="164">
        <f t="shared" si="0"/>
        <v>39315</v>
      </c>
      <c r="G20" s="164">
        <f t="shared" si="0"/>
        <v>39316</v>
      </c>
      <c r="H20" s="164">
        <f t="shared" si="0"/>
        <v>39317</v>
      </c>
      <c r="I20" s="164">
        <f t="shared" si="0"/>
        <v>39318</v>
      </c>
      <c r="J20" s="164">
        <f t="shared" si="0"/>
        <v>39319</v>
      </c>
      <c r="K20" s="164">
        <f t="shared" si="0"/>
        <v>39320</v>
      </c>
      <c r="L20" s="164">
        <f t="shared" si="0"/>
        <v>39321</v>
      </c>
      <c r="M20" s="164">
        <f t="shared" si="0"/>
        <v>39322</v>
      </c>
      <c r="N20" s="164">
        <f t="shared" si="0"/>
        <v>39323</v>
      </c>
      <c r="O20" s="164">
        <f t="shared" si="0"/>
        <v>39324</v>
      </c>
      <c r="P20" s="164">
        <f t="shared" si="0"/>
        <v>39325</v>
      </c>
      <c r="Q20" s="164">
        <f t="shared" si="0"/>
        <v>39326</v>
      </c>
      <c r="R20" s="164">
        <f t="shared" si="0"/>
        <v>39327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0</v>
      </c>
      <c r="F22" s="162">
        <f t="shared" ca="1" si="1"/>
        <v>0</v>
      </c>
      <c r="G22" s="162">
        <f t="shared" ca="1" si="1"/>
        <v>0</v>
      </c>
      <c r="H22" s="162">
        <f t="shared" ca="1" si="1"/>
        <v>0</v>
      </c>
      <c r="I22" s="162">
        <f t="shared" ca="1" si="1"/>
        <v>0</v>
      </c>
      <c r="J22" s="162">
        <f t="shared" ca="1" si="1"/>
        <v>0</v>
      </c>
      <c r="K22" s="162">
        <f t="shared" ca="1" si="1"/>
        <v>0</v>
      </c>
      <c r="L22" s="162">
        <f t="shared" ca="1" si="1"/>
        <v>0</v>
      </c>
      <c r="M22" s="162">
        <f t="shared" ca="1" si="1"/>
        <v>0</v>
      </c>
      <c r="N22" s="162">
        <f t="shared" ca="1" si="1"/>
        <v>0</v>
      </c>
      <c r="O22" s="162">
        <f t="shared" ca="1" si="1"/>
        <v>0</v>
      </c>
      <c r="P22" s="162">
        <f t="shared" ca="1" si="1"/>
        <v>0</v>
      </c>
      <c r="Q22" s="162">
        <f t="shared" ca="1" si="1"/>
        <v>0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0</v>
      </c>
      <c r="G23" s="163">
        <f t="shared" ca="1" si="2"/>
        <v>0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0</v>
      </c>
      <c r="L23" s="163">
        <f t="shared" ca="1" si="2"/>
        <v>0</v>
      </c>
      <c r="M23" s="163">
        <f t="shared" ca="1" si="2"/>
        <v>0</v>
      </c>
      <c r="N23" s="163">
        <f t="shared" ca="1" si="2"/>
        <v>0</v>
      </c>
      <c r="O23" s="163">
        <f t="shared" ca="1" si="2"/>
        <v>0</v>
      </c>
      <c r="P23" s="163">
        <f t="shared" ca="1" si="2"/>
        <v>0</v>
      </c>
      <c r="Q23" s="163">
        <f t="shared" ca="1" si="2"/>
        <v>0</v>
      </c>
      <c r="R23" s="163">
        <f t="shared" ca="1" si="2"/>
        <v>0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0</v>
      </c>
      <c r="G24" s="163">
        <f ca="1">IF(G20&gt;TODAY(), #N/A, SUM($E23:G23))</f>
        <v>0</v>
      </c>
      <c r="H24" s="163">
        <f ca="1">IF(H20&gt;TODAY(), #N/A, SUM($E23:H23))</f>
        <v>0</v>
      </c>
      <c r="I24" s="163">
        <f ca="1">IF(I20&gt;TODAY(), #N/A, SUM($E23:I23))</f>
        <v>0</v>
      </c>
      <c r="J24" s="163">
        <f ca="1">IF(J20&gt;TODAY(), #N/A, SUM($E23:J23))</f>
        <v>0</v>
      </c>
      <c r="K24" s="163">
        <f ca="1">IF(K20&gt;TODAY(), #N/A, SUM($E23:K23))</f>
        <v>0</v>
      </c>
      <c r="L24" s="163">
        <f ca="1">IF(L20&gt;TODAY(), #N/A, SUM($E23:L23))</f>
        <v>0</v>
      </c>
      <c r="M24" s="163">
        <f ca="1">IF(M20&gt;TODAY(), #N/A, SUM($E23:M23))</f>
        <v>0</v>
      </c>
      <c r="N24" s="163">
        <f ca="1">IF(N20&gt;TODAY(), #N/A, SUM($E23:N23))</f>
        <v>0</v>
      </c>
      <c r="O24" s="163">
        <f ca="1">IF(O20&gt;TODAY(), #N/A, SUM($E23:O23))</f>
        <v>0</v>
      </c>
      <c r="P24" s="163">
        <f ca="1">IF(P20&gt;TODAY(), #N/A, SUM($E23:P23))</f>
        <v>0</v>
      </c>
      <c r="Q24" s="163">
        <f ca="1">IF(Q20&gt;TODAY(), #N/A, SUM($E23:Q23))</f>
        <v>0</v>
      </c>
      <c r="R24" s="163">
        <f ca="1">IF(R20&gt;TODAY(), #N/A, SUM($E23:R23))</f>
        <v>0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0</v>
      </c>
      <c r="F25" s="163">
        <f t="shared" ca="1" si="3"/>
        <v>0</v>
      </c>
      <c r="G25" s="163">
        <f t="shared" ca="1" si="3"/>
        <v>0</v>
      </c>
      <c r="H25" s="163">
        <f t="shared" ca="1" si="3"/>
        <v>0</v>
      </c>
      <c r="I25" s="163">
        <f t="shared" ca="1" si="3"/>
        <v>0</v>
      </c>
      <c r="J25" s="163">
        <f t="shared" ca="1" si="3"/>
        <v>0</v>
      </c>
      <c r="K25" s="163">
        <f t="shared" ca="1" si="3"/>
        <v>0</v>
      </c>
      <c r="L25" s="163">
        <f t="shared" ca="1" si="3"/>
        <v>0</v>
      </c>
      <c r="M25" s="163">
        <f t="shared" ca="1" si="3"/>
        <v>0</v>
      </c>
      <c r="N25" s="163">
        <f t="shared" ca="1" si="3"/>
        <v>0</v>
      </c>
      <c r="O25" s="163">
        <f t="shared" ca="1" si="3"/>
        <v>0</v>
      </c>
      <c r="P25" s="163">
        <f t="shared" ca="1" si="3"/>
        <v>0</v>
      </c>
      <c r="Q25" s="163">
        <f t="shared" ca="1" si="3"/>
        <v>0</v>
      </c>
      <c r="R25" s="163">
        <f t="shared" ca="1" si="3"/>
        <v>0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0</v>
      </c>
      <c r="G27" s="168">
        <f t="shared" ca="1" si="4"/>
        <v>0</v>
      </c>
      <c r="H27" s="168">
        <f t="shared" ca="1" si="4"/>
        <v>0</v>
      </c>
      <c r="I27" s="168">
        <f t="shared" ca="1" si="4"/>
        <v>0</v>
      </c>
      <c r="J27" s="168">
        <f t="shared" ca="1" si="4"/>
        <v>0</v>
      </c>
      <c r="K27" s="168">
        <f t="shared" ca="1" si="4"/>
        <v>0</v>
      </c>
      <c r="L27" s="168">
        <f t="shared" ca="1" si="4"/>
        <v>0</v>
      </c>
      <c r="M27" s="168">
        <f t="shared" ca="1" si="4"/>
        <v>0</v>
      </c>
      <c r="N27" s="168">
        <f t="shared" ca="1" si="4"/>
        <v>0</v>
      </c>
      <c r="O27" s="168">
        <f t="shared" ca="1" si="4"/>
        <v>0</v>
      </c>
      <c r="P27" s="168">
        <f t="shared" ca="1" si="4"/>
        <v>0</v>
      </c>
      <c r="Q27" s="168">
        <f t="shared" ca="1" si="4"/>
        <v>0</v>
      </c>
      <c r="R27" s="168">
        <f t="shared" ca="1" si="4"/>
        <v>0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39314</v>
      </c>
      <c r="F28" s="169">
        <f t="shared" ca="1" si="5"/>
        <v>39314</v>
      </c>
      <c r="G28" s="169">
        <f t="shared" ca="1" si="5"/>
        <v>39314</v>
      </c>
      <c r="H28" s="169">
        <f t="shared" ca="1" si="5"/>
        <v>39314</v>
      </c>
      <c r="I28" s="169">
        <f t="shared" ca="1" si="5"/>
        <v>39314</v>
      </c>
      <c r="J28" s="169">
        <f t="shared" ca="1" si="5"/>
        <v>39314</v>
      </c>
      <c r="K28" s="169">
        <f t="shared" ca="1" si="5"/>
        <v>39314</v>
      </c>
      <c r="L28" s="169">
        <f t="shared" ca="1" si="5"/>
        <v>39314</v>
      </c>
      <c r="M28" s="169">
        <f t="shared" ca="1" si="5"/>
        <v>39314</v>
      </c>
      <c r="N28" s="169">
        <f t="shared" ca="1" si="5"/>
        <v>39314</v>
      </c>
      <c r="O28" s="169">
        <f t="shared" ca="1" si="5"/>
        <v>39314</v>
      </c>
      <c r="P28" s="169">
        <f t="shared" ca="1" si="5"/>
        <v>39314</v>
      </c>
      <c r="Q28" s="169">
        <f t="shared" ca="1" si="5"/>
        <v>39314</v>
      </c>
      <c r="R28" s="169">
        <f t="shared" ca="1" si="5"/>
        <v>39314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39314</v>
      </c>
      <c r="F29" s="169">
        <f t="shared" ca="1" si="6"/>
        <v>39314</v>
      </c>
      <c r="G29" s="169">
        <f t="shared" ca="1" si="6"/>
        <v>39314</v>
      </c>
      <c r="H29" s="169">
        <f t="shared" ca="1" si="6"/>
        <v>39314</v>
      </c>
      <c r="I29" s="169">
        <f t="shared" ca="1" si="6"/>
        <v>39314</v>
      </c>
      <c r="J29" s="169">
        <f t="shared" ca="1" si="6"/>
        <v>39314</v>
      </c>
      <c r="K29" s="169">
        <f t="shared" ca="1" si="6"/>
        <v>39314</v>
      </c>
      <c r="L29" s="169">
        <f t="shared" ca="1" si="6"/>
        <v>39314</v>
      </c>
      <c r="M29" s="169">
        <f t="shared" ca="1" si="6"/>
        <v>39314</v>
      </c>
      <c r="N29" s="169">
        <f t="shared" ca="1" si="6"/>
        <v>39314</v>
      </c>
      <c r="O29" s="169">
        <f t="shared" ca="1" si="6"/>
        <v>39314</v>
      </c>
      <c r="P29" s="169">
        <f t="shared" ca="1" si="6"/>
        <v>39314</v>
      </c>
      <c r="Q29" s="169">
        <f t="shared" ca="1" si="6"/>
        <v>39314</v>
      </c>
      <c r="R29" s="169">
        <f t="shared" ca="1" si="6"/>
        <v>39314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0</v>
      </c>
      <c r="F31" s="165">
        <f t="shared" ca="1" si="7"/>
        <v>0</v>
      </c>
      <c r="G31" s="165">
        <f t="shared" ca="1" si="7"/>
        <v>0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0</v>
      </c>
      <c r="H32" s="170">
        <f t="shared" ca="1" si="8"/>
        <v>0</v>
      </c>
      <c r="I32" s="170">
        <f t="shared" ca="1" si="8"/>
        <v>0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0</v>
      </c>
      <c r="N32" s="170">
        <f t="shared" ca="1" si="8"/>
        <v>0</v>
      </c>
      <c r="O32" s="170">
        <f t="shared" ca="1" si="8"/>
        <v>0</v>
      </c>
      <c r="P32" s="170">
        <f t="shared" ca="1" si="8"/>
        <v>0</v>
      </c>
      <c r="Q32" s="170">
        <f t="shared" ca="1" si="8"/>
        <v>0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0</v>
      </c>
      <c r="I33" s="165">
        <f t="shared" ca="1" si="9"/>
        <v>0</v>
      </c>
      <c r="J33" s="165">
        <f t="shared" ca="1" si="9"/>
        <v>0</v>
      </c>
      <c r="K33" s="165">
        <f t="shared" ca="1" si="9"/>
        <v>0</v>
      </c>
      <c r="L33" s="165">
        <f t="shared" ca="1" si="9"/>
        <v>0</v>
      </c>
      <c r="M33" s="165">
        <f t="shared" ca="1" si="9"/>
        <v>0</v>
      </c>
      <c r="N33" s="165">
        <f t="shared" ca="1" si="9"/>
        <v>0</v>
      </c>
      <c r="O33" s="165">
        <f t="shared" ca="1" si="9"/>
        <v>0</v>
      </c>
      <c r="P33" s="165">
        <f t="shared" ca="1" si="9"/>
        <v>0</v>
      </c>
      <c r="Q33" s="165">
        <f t="shared" ca="1" si="9"/>
        <v>0</v>
      </c>
      <c r="R33" s="165">
        <f t="shared" ca="1" si="9"/>
        <v>0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58</v>
      </c>
      <c r="F35" s="165">
        <f t="shared" ca="1" si="10"/>
        <v>58</v>
      </c>
      <c r="G35" s="165">
        <f t="shared" ca="1" si="10"/>
        <v>58</v>
      </c>
      <c r="H35" s="165">
        <f t="shared" ca="1" si="10"/>
        <v>58</v>
      </c>
      <c r="I35" s="165">
        <f t="shared" ca="1" si="10"/>
        <v>58</v>
      </c>
      <c r="J35" s="165">
        <f t="shared" ca="1" si="10"/>
        <v>58</v>
      </c>
      <c r="K35" s="165">
        <f t="shared" ca="1" si="10"/>
        <v>58</v>
      </c>
      <c r="L35" s="165">
        <f t="shared" ca="1" si="10"/>
        <v>58</v>
      </c>
      <c r="M35" s="165">
        <f t="shared" ca="1" si="10"/>
        <v>58</v>
      </c>
      <c r="N35" s="165">
        <f t="shared" ca="1" si="10"/>
        <v>58</v>
      </c>
      <c r="O35" s="165">
        <f t="shared" ca="1" si="10"/>
        <v>58</v>
      </c>
      <c r="P35" s="165">
        <f t="shared" ca="1" si="10"/>
        <v>58</v>
      </c>
      <c r="Q35" s="165">
        <f t="shared" ca="1" si="10"/>
        <v>58</v>
      </c>
      <c r="R35" s="165">
        <f t="shared" ca="1" si="10"/>
        <v>58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0</v>
      </c>
      <c r="N36" s="165">
        <f t="shared" ca="1" si="11"/>
        <v>0</v>
      </c>
      <c r="O36" s="165">
        <f t="shared" ca="1" si="11"/>
        <v>0</v>
      </c>
      <c r="P36" s="165">
        <f t="shared" ca="1" si="11"/>
        <v>0</v>
      </c>
      <c r="Q36" s="165">
        <f t="shared" ca="1" si="11"/>
        <v>0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0</v>
      </c>
      <c r="I37" s="165">
        <f t="shared" ca="1" si="12"/>
        <v>0</v>
      </c>
      <c r="J37" s="165">
        <f t="shared" ca="1" si="12"/>
        <v>0</v>
      </c>
      <c r="K37" s="165">
        <f t="shared" ca="1" si="12"/>
        <v>0</v>
      </c>
      <c r="L37" s="165">
        <f t="shared" ca="1" si="12"/>
        <v>0</v>
      </c>
      <c r="M37" s="165">
        <f t="shared" ca="1" si="12"/>
        <v>0</v>
      </c>
      <c r="N37" s="165">
        <f t="shared" ca="1" si="12"/>
        <v>0</v>
      </c>
      <c r="O37" s="165">
        <f t="shared" ca="1" si="12"/>
        <v>0</v>
      </c>
      <c r="P37" s="165">
        <f t="shared" ca="1" si="12"/>
        <v>0</v>
      </c>
      <c r="Q37" s="165">
        <f t="shared" ca="1" si="12"/>
        <v>0</v>
      </c>
      <c r="R37" s="165">
        <f t="shared" ca="1" si="12"/>
        <v>0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14" sqref="G14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Tue</v>
      </c>
      <c r="E2" s="48">
        <f ca="1">TODAY()</f>
        <v>41324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39314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39314</v>
      </c>
      <c r="J6" s="67">
        <f t="shared" ref="J6:O6" si="0">I6+1</f>
        <v>39315</v>
      </c>
      <c r="K6" s="67">
        <f t="shared" si="0"/>
        <v>39316</v>
      </c>
      <c r="L6" s="67">
        <f t="shared" si="0"/>
        <v>39317</v>
      </c>
      <c r="M6" s="67">
        <f t="shared" si="0"/>
        <v>39318</v>
      </c>
      <c r="N6" s="68">
        <f t="shared" si="0"/>
        <v>39319</v>
      </c>
      <c r="O6" s="68">
        <f t="shared" si="0"/>
        <v>39320</v>
      </c>
      <c r="P6" s="69">
        <f>I6+7</f>
        <v>39321</v>
      </c>
      <c r="Q6" s="67">
        <f t="shared" ref="Q6:V6" si="1">P6+1</f>
        <v>39322</v>
      </c>
      <c r="R6" s="67">
        <f t="shared" si="1"/>
        <v>39323</v>
      </c>
      <c r="S6" s="67">
        <f t="shared" si="1"/>
        <v>39324</v>
      </c>
      <c r="T6" s="67">
        <f t="shared" si="1"/>
        <v>39325</v>
      </c>
      <c r="U6" s="68">
        <f t="shared" si="1"/>
        <v>39326</v>
      </c>
      <c r="V6" s="68">
        <f t="shared" si="1"/>
        <v>39327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SUMIF(Sprint!$F$4:$F$1854,E8,Sprint!$AX$4:$AX$1854)</f>
        <v>0</v>
      </c>
      <c r="H8" s="84"/>
      <c r="I8" s="90">
        <f t="shared" ref="I8:J18" si="2">IF(I$6&lt;$E$3,0,IF(ISBLANK($E8),0,IF(I$6&lt;$E$2,0,1)))</f>
        <v>0</v>
      </c>
      <c r="J8" s="91">
        <f t="shared" si="2"/>
        <v>0</v>
      </c>
      <c r="K8" s="91">
        <f t="shared" ref="K8:M23" si="3">IF(K$6&lt;$E$3,0,IF(ISBLANK($E8),0,IF(K$6&lt;$E$2,0,1)))</f>
        <v>0</v>
      </c>
      <c r="L8" s="91">
        <f t="shared" si="3"/>
        <v>0</v>
      </c>
      <c r="M8" s="91">
        <f t="shared" si="3"/>
        <v>0</v>
      </c>
      <c r="N8" s="85"/>
      <c r="O8" s="86"/>
      <c r="P8" s="90">
        <f t="shared" ref="P8:T18" si="4">IF(P$6&lt;$E$3,0,IF(ISBLANK($E8),0,IF(P$6&lt;$E$2,0,1)))</f>
        <v>0</v>
      </c>
      <c r="Q8" s="91">
        <f t="shared" si="4"/>
        <v>0</v>
      </c>
      <c r="R8" s="91">
        <f t="shared" si="4"/>
        <v>0</v>
      </c>
      <c r="S8" s="91">
        <f t="shared" si="4"/>
        <v>0</v>
      </c>
      <c r="T8" s="91">
        <f t="shared" si="4"/>
        <v>0</v>
      </c>
      <c r="U8" s="85"/>
      <c r="V8" s="86"/>
      <c r="W8" s="198">
        <f t="shared" ref="W8:W25" si="5">IF(E8="unassigned",0,(COUNTIF(I8:V8,1)*$C$6)*F8)</f>
        <v>0</v>
      </c>
      <c r="X8" s="199"/>
      <c r="Y8" s="199"/>
      <c r="Z8" s="199"/>
      <c r="AA8" s="199"/>
      <c r="AB8" s="200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SUMIF(Sprint!$F$4:$F$1854,E9,Sprint!$AX$4:$AX$1854)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198">
        <f t="shared" si="5"/>
        <v>0</v>
      </c>
      <c r="X9" s="199"/>
      <c r="Y9" s="199"/>
      <c r="Z9" s="199"/>
      <c r="AA9" s="199"/>
      <c r="AB9" s="200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SUMIF(Sprint!$F$4:$F$1854,E10,Sprint!$AX$4:$AX$1854)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8">
        <f t="shared" si="5"/>
        <v>0</v>
      </c>
      <c r="X10" s="199"/>
      <c r="Y10" s="199"/>
      <c r="Z10" s="199"/>
      <c r="AA10" s="199"/>
      <c r="AB10" s="200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8">
        <f t="shared" si="5"/>
        <v>0</v>
      </c>
      <c r="X11" s="199"/>
      <c r="Y11" s="199"/>
      <c r="Z11" s="199"/>
      <c r="AA11" s="199"/>
      <c r="AB11" s="200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16" sqref="D1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133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133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133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133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133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133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133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134</v>
      </c>
      <c r="D15" s="141" t="s">
        <v>134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COUNTIF(Sprint!$A$4:$A$92, "Feature")</f>
        <v>0</v>
      </c>
      <c r="C2" s="181" t="e">
        <f>B2/$B$6</f>
        <v>#DIV/0!</v>
      </c>
    </row>
    <row r="3" spans="1:3" ht="15" x14ac:dyDescent="0.25">
      <c r="A3" s="174" t="s">
        <v>106</v>
      </c>
      <c r="B3" s="175">
        <f>COUNTIF(Sprint!$A$4:$A$92, "Tax")</f>
        <v>0</v>
      </c>
      <c r="C3" s="181" t="e">
        <f t="shared" ref="C3:C5" si="0">B3/$B$6</f>
        <v>#DIV/0!</v>
      </c>
    </row>
    <row r="4" spans="1:3" ht="15" x14ac:dyDescent="0.25">
      <c r="A4" s="174" t="s">
        <v>107</v>
      </c>
      <c r="B4" s="175">
        <f>COUNTIF(Sprint!$A$4:$A$92, "Precondition")</f>
        <v>0</v>
      </c>
      <c r="C4" s="181" t="e">
        <f t="shared" si="0"/>
        <v>#DIV/0!</v>
      </c>
    </row>
    <row r="5" spans="1:3" ht="15" x14ac:dyDescent="0.25">
      <c r="A5" s="174" t="s">
        <v>108</v>
      </c>
      <c r="B5" s="175">
        <f>COUNTIF(Sprint!$A$4:$A$92, "Spike")</f>
        <v>0</v>
      </c>
      <c r="C5" s="181" t="e">
        <f t="shared" si="0"/>
        <v>#DIV/0!</v>
      </c>
    </row>
    <row r="6" spans="1:3" ht="15" x14ac:dyDescent="0.25">
      <c r="A6" s="176" t="s">
        <v>128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COUNTIF(Sprint!$B$4:$B$209, "Data Model")</f>
        <v>0</v>
      </c>
      <c r="C9" s="181" t="e">
        <f>B9/$B$25</f>
        <v>#DIV/0!</v>
      </c>
    </row>
    <row r="10" spans="1:3" ht="15" x14ac:dyDescent="0.25">
      <c r="A10" s="174" t="s">
        <v>111</v>
      </c>
      <c r="B10" s="175">
        <f>COUNTIF(Sprint!$B$4:$B$209, "Integration Model")</f>
        <v>0</v>
      </c>
      <c r="C10" s="181" t="e">
        <f>B10/$B$25</f>
        <v>#DIV/0!</v>
      </c>
    </row>
    <row r="11" spans="1:3" ht="15" x14ac:dyDescent="0.25">
      <c r="A11" s="174" t="s">
        <v>112</v>
      </c>
      <c r="B11" s="175">
        <f>COUNTIF(Sprint!$B$4:$B$209, "System Frameworks")</f>
        <v>0</v>
      </c>
      <c r="C11" s="181" t="e">
        <f>B11/$B$25</f>
        <v>#DIV/0!</v>
      </c>
    </row>
    <row r="12" spans="1:3" ht="15" x14ac:dyDescent="0.25">
      <c r="A12" s="174" t="s">
        <v>113</v>
      </c>
      <c r="B12" s="175">
        <f>COUNTIF(Sprint!$B$4:$B$209,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114</v>
      </c>
      <c r="B13" s="175">
        <f>COUNTIF(Sprint!$B$4:$B$209, "Security")</f>
        <v>0</v>
      </c>
      <c r="C13" s="181" t="e">
        <f t="shared" si="1"/>
        <v>#DIV/0!</v>
      </c>
    </row>
    <row r="14" spans="1:3" ht="15" x14ac:dyDescent="0.25">
      <c r="A14" s="174" t="s">
        <v>115</v>
      </c>
      <c r="B14" s="175">
        <f>COUNTIF(Sprint!$B$4:$B$209, "Cash Payment Tracking")</f>
        <v>0</v>
      </c>
      <c r="C14" s="181" t="e">
        <f t="shared" si="1"/>
        <v>#DIV/0!</v>
      </c>
    </row>
    <row r="15" spans="1:3" ht="15" x14ac:dyDescent="0.25">
      <c r="A15" s="174" t="s">
        <v>116</v>
      </c>
      <c r="B15" s="175">
        <f>COUNTIF(Sprint!$B$4:$B$209, "Views")</f>
        <v>0</v>
      </c>
      <c r="C15" s="181" t="e">
        <f t="shared" si="1"/>
        <v>#DIV/0!</v>
      </c>
    </row>
    <row r="16" spans="1:3" ht="15" x14ac:dyDescent="0.25">
      <c r="A16" s="174" t="s">
        <v>117</v>
      </c>
      <c r="B16" s="175">
        <f>COUNTIF(Sprint!$B$4:$B$209, "Lookups")</f>
        <v>0</v>
      </c>
      <c r="C16" s="181" t="e">
        <f t="shared" si="1"/>
        <v>#DIV/0!</v>
      </c>
    </row>
    <row r="17" spans="1:3" ht="15" x14ac:dyDescent="0.25">
      <c r="A17" s="174" t="s">
        <v>118</v>
      </c>
      <c r="B17" s="175">
        <f>COUNTIF(Sprint!$B$4:$B$209, "Detail screens")</f>
        <v>0</v>
      </c>
      <c r="C17" s="181" t="e">
        <f t="shared" si="1"/>
        <v>#DIV/0!</v>
      </c>
    </row>
    <row r="18" spans="1:3" ht="15" x14ac:dyDescent="0.25">
      <c r="A18" s="174" t="s">
        <v>119</v>
      </c>
      <c r="B18" s="175">
        <f>COUNTIF(Sprint!$B$4:$B$209, "Notifications")</f>
        <v>0</v>
      </c>
      <c r="C18" s="181" t="e">
        <f t="shared" si="1"/>
        <v>#DIV/0!</v>
      </c>
    </row>
    <row r="19" spans="1:3" ht="15" x14ac:dyDescent="0.25">
      <c r="A19" s="174" t="s">
        <v>120</v>
      </c>
      <c r="B19" s="175">
        <f>COUNTIF(Sprint!$B$4:$B$209, "Reports")</f>
        <v>0</v>
      </c>
      <c r="C19" s="181" t="e">
        <f t="shared" si="1"/>
        <v>#DIV/0!</v>
      </c>
    </row>
    <row r="20" spans="1:3" ht="15" x14ac:dyDescent="0.25">
      <c r="A20" s="174" t="s">
        <v>121</v>
      </c>
      <c r="B20" s="175">
        <f>COUNTIF(Sprint!$B$4:$B$209, "Installation Package")</f>
        <v>0</v>
      </c>
      <c r="C20" s="181" t="e">
        <f t="shared" si="1"/>
        <v>#DIV/0!</v>
      </c>
    </row>
    <row r="21" spans="1:3" ht="15" x14ac:dyDescent="0.25">
      <c r="A21" s="174" t="s">
        <v>122</v>
      </c>
      <c r="B21" s="175">
        <f>COUNTIF(Sprint!$B$4:$B$209, "Deployment")</f>
        <v>0</v>
      </c>
      <c r="C21" s="181" t="e">
        <f t="shared" si="1"/>
        <v>#DIV/0!</v>
      </c>
    </row>
    <row r="22" spans="1:3" ht="15" x14ac:dyDescent="0.25">
      <c r="A22" s="174" t="s">
        <v>123</v>
      </c>
      <c r="B22" s="175">
        <f>COUNTIF(Sprint!$B$4:$B$209, "Documentation")</f>
        <v>0</v>
      </c>
      <c r="C22" s="181" t="e">
        <f t="shared" si="1"/>
        <v>#DIV/0!</v>
      </c>
    </row>
    <row r="23" spans="1:3" ht="15" x14ac:dyDescent="0.25">
      <c r="A23" s="174" t="s">
        <v>124</v>
      </c>
      <c r="B23" s="175">
        <f>COUNTIF(Sprint!$B$4:$B$209, "Testing")</f>
        <v>0</v>
      </c>
      <c r="C23" s="181" t="e">
        <f t="shared" si="1"/>
        <v>#DIV/0!</v>
      </c>
    </row>
    <row r="24" spans="1:3" ht="15" x14ac:dyDescent="0.25">
      <c r="A24" s="174" t="s">
        <v>125</v>
      </c>
      <c r="B24" s="175">
        <f>COUNTIF(Sprint!$B$4:$B$209, "Project Mgt")</f>
        <v>0</v>
      </c>
      <c r="C24" s="181" t="e">
        <f t="shared" si="1"/>
        <v>#DIV/0!</v>
      </c>
    </row>
    <row r="25" spans="1:3" ht="15" x14ac:dyDescent="0.25">
      <c r="A25" s="176" t="s">
        <v>128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130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131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126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132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Bernice Lacey</cp:lastModifiedBy>
  <cp:revision>1</cp:revision>
  <cp:lastPrinted>2005-08-15T09:18:22Z</cp:lastPrinted>
  <dcterms:created xsi:type="dcterms:W3CDTF">2005-01-26T21:50:47Z</dcterms:created>
  <dcterms:modified xsi:type="dcterms:W3CDTF">2013-02-20T00:18:31Z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